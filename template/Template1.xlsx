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phuc.th\Downloads\"/>
    </mc:Choice>
  </mc:AlternateContent>
  <xr:revisionPtr revIDLastSave="0" documentId="8_{E8EDD009-F821-4C27-83D8-7344A8E6A82D}" xr6:coauthVersionLast="36" xr6:coauthVersionMax="36" xr10:uidLastSave="{00000000-0000-0000-0000-000000000000}"/>
  <bookViews>
    <workbookView xWindow="0" yWindow="0" windowWidth="20490" windowHeight="7545" xr2:uid="{00000000-000D-0000-FFFF-FFFF00000000}"/>
  </bookViews>
  <sheets>
    <sheet name="Report_2025-12-01_2025-12-24" sheetId="1" r:id="rId1"/>
  </sheets>
  <calcPr calcId="191029"/>
</workbook>
</file>

<file path=xl/calcChain.xml><?xml version="1.0" encoding="utf-8"?>
<calcChain xmlns="http://schemas.openxmlformats.org/spreadsheetml/2006/main">
  <c r="R10" i="1" l="1"/>
  <c r="AE5" i="1"/>
  <c r="D12" i="1" s="1"/>
</calcChain>
</file>

<file path=xl/sharedStrings.xml><?xml version="1.0" encoding="utf-8"?>
<sst xmlns="http://schemas.openxmlformats.org/spreadsheetml/2006/main" count="74" uniqueCount="67">
  <si>
    <t>Dòng</t>
  </si>
  <si>
    <t>Mô tả</t>
  </si>
  <si>
    <t>Thời điểm</t>
  </si>
  <si>
    <t>data_CD_Tram01_A51_MV01_Kwh_Ca1</t>
  </si>
  <si>
    <t>data_CD_Tram01_A51_MV02_Kwh_Ca1</t>
  </si>
  <si>
    <t>data_CD_Tram01_A51_MV03_Kwh_Ca1</t>
  </si>
  <si>
    <t>data_CD_Tram01_A51_MV04_Kwh_Ca1</t>
  </si>
  <si>
    <t>data_CD_Tram01_A52_MV05_Kwh_Ca1</t>
  </si>
  <si>
    <t>data_CD_Tram02_A51_MV01_Kwh_Ca1</t>
  </si>
  <si>
    <t>data_CD_Tram03_A51_MV01_Kwh_Ca1</t>
  </si>
  <si>
    <t>data_CD_Tram04_A51_MV01_Kwh_Ca1</t>
  </si>
  <si>
    <t>data_CD_Tram05_A51_MV01_Kwh_Ca1</t>
  </si>
  <si>
    <t>data_CD_Tram01_A51_MV01_Kwh_Ca2</t>
  </si>
  <si>
    <t>data_CD_Tram01_A51_MV02_Kwh_Ca2</t>
  </si>
  <si>
    <t>data_CD_Tram01_A51_MV03_Kwh_Ca2</t>
  </si>
  <si>
    <t>data_CD_Tram01_A51_MV04_Kwh_Ca2</t>
  </si>
  <si>
    <t>data_CD_Tram01_A52_MV05_Kwh_Ca2</t>
  </si>
  <si>
    <t>data_CD_Tram02_A51_MV01_Kwh_Ca2</t>
  </si>
  <si>
    <t>data_CD_Tram03_A51_MV01_Kwh_Ca2</t>
  </si>
  <si>
    <t>data_CD_Tram04_A51_MV01_Kwh_Ca2</t>
  </si>
  <si>
    <t>data_CD_Tram05_A51_MV01_Kwh_Ca2</t>
  </si>
  <si>
    <t>data_CD_Tram01_A51_MV01_Kwh_Ca3</t>
  </si>
  <si>
    <t>data_CD_Tram01_A51_MV02_Kwh_Ca3</t>
  </si>
  <si>
    <t>data_CD_Tram01_A51_MV03_Kwh_Ca3</t>
  </si>
  <si>
    <t>data_CD_Tram01_A51_MV04_Kwh_Ca3</t>
  </si>
  <si>
    <t>data_CD_Tram01_A52_MV05_Kwh_Ca3</t>
  </si>
  <si>
    <t>data_CD_Tram02_A51_MV01_Kwh_Ca3</t>
  </si>
  <si>
    <t>data_CD_Tram03_A51_MV01_Kwh_Ca3</t>
  </si>
  <si>
    <t>data_CD_Tram04_A51_MV01_Kwh_Ca3</t>
  </si>
  <si>
    <t>data_CD_Tram05_A51_MV01_Kwh_Ca3</t>
  </si>
  <si>
    <t>dataBNS_TotalDay_Kwh_A51_MV01</t>
  </si>
  <si>
    <t>dataBNS_TotalDay_Kwh_A51_MV02</t>
  </si>
  <si>
    <t>dataBNS_TotalDay_Kwh_A51_MV03</t>
  </si>
  <si>
    <t>dataBNS_TotalDay_Kwh_A51_MV04</t>
  </si>
  <si>
    <t>dataBNS_TotalDay_Kwh_A52_MV05</t>
  </si>
  <si>
    <t>dataBNS_TotalDay_Kwh_A52_MV06</t>
  </si>
  <si>
    <t>dataBNS_TotalDay_Kwh_A52_MV07</t>
  </si>
  <si>
    <t>dataBNS_TotalDay_Kwh_A53_MV10</t>
  </si>
  <si>
    <t>dataBNS_TotalDay_Kwh_A53_MV11</t>
  </si>
  <si>
    <t>dataBNS_TotalDay_Kwh_A53_MV12</t>
  </si>
  <si>
    <t>dataBNS_TotalDay_Kwh_A54_MV13</t>
  </si>
  <si>
    <t>dataBNS_TotalDay_Kwh_A54_MV14</t>
  </si>
  <si>
    <t>dataBNS_TotalDay_Kwh_A54_MV15</t>
  </si>
  <si>
    <t>dataBNS_TotalDay_Kwh_A54_MV16</t>
  </si>
  <si>
    <t>TOTAL_CD</t>
  </si>
  <si>
    <t>TOTAL_DAY</t>
  </si>
  <si>
    <t/>
  </si>
  <si>
    <t>Dòng 1</t>
  </si>
  <si>
    <t>CD - Ngày đầu (record đầu ngày)</t>
  </si>
  <si>
    <t>2025-12-01 00:00:00</t>
  </si>
  <si>
    <t>Dòng 2</t>
  </si>
  <si>
    <t>CD - Ngày cuối (record cuối ngày)</t>
  </si>
  <si>
    <t>2025-12-24 19:00:29</t>
  </si>
  <si>
    <t>Dòng 3</t>
  </si>
  <si>
    <t>CD - Chênh lệch (Ngày cuối - Ngày đầu)</t>
  </si>
  <si>
    <t>Dòng 4</t>
  </si>
  <si>
    <t>DAY - Ngày đầu (record đầu ngày)</t>
  </si>
  <si>
    <t>2025-12-01 00:00:03</t>
  </si>
  <si>
    <t>Dòng 5</t>
  </si>
  <si>
    <t>DAY - Ngày cuối (record cuối ngày)</t>
  </si>
  <si>
    <t>2025-12-24 18:30:21</t>
  </si>
  <si>
    <t>Dòng 6</t>
  </si>
  <si>
    <t>DAY - Chênh lệch (Ngày cuối - Ngày đầu)</t>
  </si>
  <si>
    <t>Dòng 7</t>
  </si>
  <si>
    <t>TỔNG</t>
  </si>
  <si>
    <t>BNS REPORT</t>
  </si>
  <si>
    <t>CD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</si>
</sst>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name val="Calibri"/>
    </font>
    <font>
      <b/>
      <sz val="12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/>
    <xf numFmtId="0" fontId="1" fillId="0" borderId="0" xfId="0" applyFont="1" applyAlignment="1">
      <alignment horizontal="center"/>
    </xf>
    <xf numFmtId="2" fontId="0" fillId="0" borderId="0" xfId="0" applyNumberFormat="1"/>
    <xf numFmtId="0" fontId="0" fillId="0" borderId="0" xfId="0" applyAlignment="1">
      <alignment horizontal="righ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2"/>
  <sheetViews>
    <sheetView tabSelected="1" workbookViewId="0">
      <selection activeCell="F11" sqref="F11"/>
    </sheetView>
  </sheetViews>
  <sheetFormatPr defaultRowHeight="15.75" x14ac:dyDescent="0.25"/>
  <cols>
    <col min="1" max="1" width="10" customWidth="1"/>
    <col min="2" max="2" width="40" customWidth="1"/>
    <col min="3" max="3" width="22.875" customWidth="1"/>
    <col min="4" max="16" width="15.75" customWidth="1"/>
    <col min="17" max="17" width="18.25" customWidth="1"/>
    <col min="18" max="32" width="15.75" customWidth="1"/>
    <col min="33" max="33" width="17.125" customWidth="1"/>
  </cols>
  <sheetData>
    <row r="1" spans="1:33" s="1" customFormat="1" x14ac:dyDescent="0.25">
      <c r="B1" s="5" t="s">
        <v>66</v>
      </c>
    </row>
    <row r="2" spans="1:33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  <c r="V2" s="2" t="s">
        <v>21</v>
      </c>
      <c r="W2" s="2" t="s">
        <v>22</v>
      </c>
      <c r="X2" s="2" t="s">
        <v>23</v>
      </c>
      <c r="Y2" s="2" t="s">
        <v>24</v>
      </c>
      <c r="Z2" s="2" t="s">
        <v>25</v>
      </c>
      <c r="AA2" s="2" t="s">
        <v>26</v>
      </c>
      <c r="AB2" s="2" t="s">
        <v>27</v>
      </c>
      <c r="AC2" s="2" t="s">
        <v>28</v>
      </c>
      <c r="AD2" s="2" t="s">
        <v>29</v>
      </c>
      <c r="AE2" s="2" t="s">
        <v>44</v>
      </c>
      <c r="AG2" s="2"/>
    </row>
    <row r="3" spans="1:33" x14ac:dyDescent="0.25">
      <c r="A3" s="1" t="s">
        <v>47</v>
      </c>
      <c r="B3" s="1" t="s">
        <v>48</v>
      </c>
      <c r="C3" s="1" t="s">
        <v>49</v>
      </c>
      <c r="D3" s="3">
        <v>8</v>
      </c>
      <c r="E3" s="3">
        <v>2</v>
      </c>
      <c r="F3" s="3">
        <v>9</v>
      </c>
      <c r="G3" s="3">
        <v>0</v>
      </c>
      <c r="H3" s="3">
        <v>36</v>
      </c>
      <c r="I3" s="3">
        <v>0</v>
      </c>
      <c r="J3" s="3">
        <v>4</v>
      </c>
      <c r="K3" s="3">
        <v>2</v>
      </c>
      <c r="L3" s="3">
        <v>0</v>
      </c>
      <c r="M3" s="3">
        <v>72</v>
      </c>
      <c r="N3" s="3">
        <v>21</v>
      </c>
      <c r="O3" s="3">
        <v>56</v>
      </c>
      <c r="P3" s="3">
        <v>1</v>
      </c>
      <c r="Q3" s="3">
        <v>203</v>
      </c>
      <c r="R3" s="3">
        <v>0</v>
      </c>
      <c r="S3" s="3">
        <v>32</v>
      </c>
      <c r="T3" s="3">
        <v>1</v>
      </c>
      <c r="U3" s="3">
        <v>1</v>
      </c>
      <c r="V3" s="3">
        <v>47</v>
      </c>
      <c r="W3" s="3">
        <v>20</v>
      </c>
      <c r="X3" s="3">
        <v>58</v>
      </c>
      <c r="Y3" s="3">
        <v>2</v>
      </c>
      <c r="Z3" s="3">
        <v>164</v>
      </c>
      <c r="AA3" s="3">
        <v>0</v>
      </c>
      <c r="AB3" s="3">
        <v>55</v>
      </c>
      <c r="AC3" s="3">
        <v>9</v>
      </c>
      <c r="AD3" s="3">
        <v>2</v>
      </c>
      <c r="AE3" s="3"/>
    </row>
    <row r="4" spans="1:33" x14ac:dyDescent="0.25">
      <c r="A4" s="1" t="s">
        <v>50</v>
      </c>
      <c r="B4" s="1" t="s">
        <v>51</v>
      </c>
      <c r="C4" s="1" t="s">
        <v>52</v>
      </c>
      <c r="D4" s="3">
        <v>47</v>
      </c>
      <c r="E4" s="3">
        <v>7</v>
      </c>
      <c r="F4" s="3">
        <v>40</v>
      </c>
      <c r="G4" s="3">
        <v>2</v>
      </c>
      <c r="H4" s="3">
        <v>6</v>
      </c>
      <c r="I4" s="3">
        <v>55</v>
      </c>
      <c r="J4" s="3">
        <v>33</v>
      </c>
      <c r="K4" s="3">
        <v>8</v>
      </c>
      <c r="L4" s="3">
        <v>2</v>
      </c>
      <c r="M4" s="3">
        <v>79</v>
      </c>
      <c r="N4" s="3">
        <v>20</v>
      </c>
      <c r="O4" s="3">
        <v>48</v>
      </c>
      <c r="P4" s="3">
        <v>20</v>
      </c>
      <c r="Q4" s="3">
        <v>8</v>
      </c>
      <c r="R4" s="3">
        <v>42</v>
      </c>
      <c r="S4" s="3">
        <v>70</v>
      </c>
      <c r="T4" s="3">
        <v>3</v>
      </c>
      <c r="U4" s="3">
        <v>2</v>
      </c>
      <c r="V4" s="3">
        <v>25</v>
      </c>
      <c r="W4" s="3">
        <v>4</v>
      </c>
      <c r="X4" s="3">
        <v>22</v>
      </c>
      <c r="Y4" s="3">
        <v>1</v>
      </c>
      <c r="Z4" s="3">
        <v>4</v>
      </c>
      <c r="AA4" s="3">
        <v>27</v>
      </c>
      <c r="AB4" s="3">
        <v>35</v>
      </c>
      <c r="AC4" s="3">
        <v>4</v>
      </c>
      <c r="AD4" s="3">
        <v>1</v>
      </c>
      <c r="AE4" s="3"/>
    </row>
    <row r="5" spans="1:33" x14ac:dyDescent="0.25">
      <c r="A5" s="1" t="s">
        <v>53</v>
      </c>
      <c r="B5" s="1" t="s">
        <v>54</v>
      </c>
      <c r="C5" s="1" t="s">
        <v>46</v>
      </c>
      <c r="D5" s="3">
        <v>39</v>
      </c>
      <c r="E5" s="3">
        <v>5</v>
      </c>
      <c r="F5" s="3">
        <v>31</v>
      </c>
      <c r="G5" s="3">
        <v>2</v>
      </c>
      <c r="H5" s="3">
        <v>-30</v>
      </c>
      <c r="I5" s="3">
        <v>55</v>
      </c>
      <c r="J5" s="3">
        <v>29</v>
      </c>
      <c r="K5" s="3">
        <v>6</v>
      </c>
      <c r="L5" s="3">
        <v>2</v>
      </c>
      <c r="M5" s="3">
        <v>7</v>
      </c>
      <c r="N5" s="3">
        <v>-1</v>
      </c>
      <c r="O5" s="3">
        <v>-8</v>
      </c>
      <c r="P5" s="3">
        <v>19</v>
      </c>
      <c r="Q5" s="3">
        <v>-195</v>
      </c>
      <c r="R5" s="3">
        <v>42</v>
      </c>
      <c r="S5" s="3">
        <v>38</v>
      </c>
      <c r="T5" s="3">
        <v>2</v>
      </c>
      <c r="U5" s="3">
        <v>1</v>
      </c>
      <c r="V5" s="3">
        <v>-22</v>
      </c>
      <c r="W5" s="3">
        <v>-16</v>
      </c>
      <c r="X5" s="3">
        <v>-36</v>
      </c>
      <c r="Y5" s="3">
        <v>-1</v>
      </c>
      <c r="Z5" s="3">
        <v>-160</v>
      </c>
      <c r="AA5" s="3">
        <v>27</v>
      </c>
      <c r="AB5" s="3">
        <v>-20</v>
      </c>
      <c r="AC5" s="3">
        <v>-5</v>
      </c>
      <c r="AD5" s="3">
        <v>-1</v>
      </c>
      <c r="AE5" s="3">
        <f>SUM(D5:AD5)</f>
        <v>-190</v>
      </c>
    </row>
    <row r="6" spans="1:33" x14ac:dyDescent="0.25">
      <c r="A6" s="1" t="s">
        <v>46</v>
      </c>
      <c r="B6" s="5" t="s">
        <v>65</v>
      </c>
      <c r="C6" s="1" t="s">
        <v>46</v>
      </c>
    </row>
    <row r="7" spans="1:33" x14ac:dyDescent="0.25">
      <c r="A7" s="2" t="s">
        <v>0</v>
      </c>
      <c r="B7" s="2" t="s">
        <v>1</v>
      </c>
      <c r="C7" s="2" t="s">
        <v>2</v>
      </c>
      <c r="D7" s="2" t="s">
        <v>30</v>
      </c>
      <c r="E7" s="2" t="s">
        <v>31</v>
      </c>
      <c r="F7" s="2" t="s">
        <v>32</v>
      </c>
      <c r="G7" s="2" t="s">
        <v>33</v>
      </c>
      <c r="H7" s="2" t="s">
        <v>34</v>
      </c>
      <c r="I7" s="2" t="s">
        <v>35</v>
      </c>
      <c r="J7" s="2" t="s">
        <v>36</v>
      </c>
      <c r="K7" s="2" t="s">
        <v>37</v>
      </c>
      <c r="L7" s="2" t="s">
        <v>38</v>
      </c>
      <c r="M7" s="2" t="s">
        <v>39</v>
      </c>
      <c r="N7" s="2" t="s">
        <v>40</v>
      </c>
      <c r="O7" s="2" t="s">
        <v>41</v>
      </c>
      <c r="P7" s="2" t="s">
        <v>42</v>
      </c>
      <c r="Q7" s="2" t="s">
        <v>43</v>
      </c>
      <c r="R7" s="2" t="s">
        <v>45</v>
      </c>
    </row>
    <row r="8" spans="1:33" x14ac:dyDescent="0.25">
      <c r="A8" s="1" t="s">
        <v>55</v>
      </c>
      <c r="B8" s="1" t="s">
        <v>56</v>
      </c>
      <c r="C8" s="1" t="s">
        <v>57</v>
      </c>
      <c r="D8" s="3">
        <v>45583</v>
      </c>
      <c r="E8" s="3">
        <v>0</v>
      </c>
      <c r="F8" s="3">
        <v>0</v>
      </c>
      <c r="G8" s="3">
        <v>11672</v>
      </c>
      <c r="H8" s="3">
        <v>8402</v>
      </c>
      <c r="I8" s="3">
        <v>19762</v>
      </c>
      <c r="J8" s="3">
        <v>0</v>
      </c>
      <c r="K8" s="3">
        <v>0</v>
      </c>
      <c r="L8" s="3">
        <v>8583</v>
      </c>
      <c r="M8" s="3">
        <v>0</v>
      </c>
      <c r="N8" s="3">
        <v>9382</v>
      </c>
      <c r="O8" s="3">
        <v>258</v>
      </c>
      <c r="P8" s="3">
        <v>9773</v>
      </c>
      <c r="Q8" s="3">
        <v>35495</v>
      </c>
      <c r="R8" s="3"/>
    </row>
    <row r="9" spans="1:33" x14ac:dyDescent="0.25">
      <c r="A9" s="1" t="s">
        <v>58</v>
      </c>
      <c r="B9" s="1" t="s">
        <v>59</v>
      </c>
      <c r="C9" s="1" t="s">
        <v>60</v>
      </c>
      <c r="D9" s="3">
        <v>1177</v>
      </c>
      <c r="E9" s="3">
        <v>0</v>
      </c>
      <c r="F9" s="3">
        <v>0</v>
      </c>
      <c r="G9" s="3">
        <v>0</v>
      </c>
      <c r="H9" s="3">
        <v>900</v>
      </c>
      <c r="I9" s="3">
        <v>292</v>
      </c>
      <c r="J9" s="3">
        <v>0</v>
      </c>
      <c r="K9" s="3">
        <v>0</v>
      </c>
      <c r="L9" s="3">
        <v>0</v>
      </c>
      <c r="M9" s="3">
        <v>0</v>
      </c>
      <c r="N9" s="3">
        <v>237</v>
      </c>
      <c r="O9" s="3">
        <v>5</v>
      </c>
      <c r="P9" s="3">
        <v>0</v>
      </c>
      <c r="Q9" s="3">
        <v>391</v>
      </c>
      <c r="R9" s="3"/>
    </row>
    <row r="10" spans="1:33" x14ac:dyDescent="0.25">
      <c r="A10" s="1" t="s">
        <v>61</v>
      </c>
      <c r="B10" s="1" t="s">
        <v>62</v>
      </c>
      <c r="C10" s="1" t="s">
        <v>46</v>
      </c>
      <c r="D10" s="3">
        <v>-44406</v>
      </c>
      <c r="E10" s="3">
        <v>0</v>
      </c>
      <c r="F10" s="3">
        <v>0</v>
      </c>
      <c r="G10" s="3">
        <v>-11672</v>
      </c>
      <c r="H10" s="3">
        <v>-7502</v>
      </c>
      <c r="I10" s="3">
        <v>-19470</v>
      </c>
      <c r="J10" s="3">
        <v>0</v>
      </c>
      <c r="K10" s="3">
        <v>0</v>
      </c>
      <c r="L10" s="3">
        <v>-8583</v>
      </c>
      <c r="M10" s="3">
        <v>0</v>
      </c>
      <c r="N10" s="3">
        <v>-9145</v>
      </c>
      <c r="O10" s="3">
        <v>-253</v>
      </c>
      <c r="P10" s="3">
        <v>-9773</v>
      </c>
      <c r="Q10" s="3">
        <v>-35104</v>
      </c>
      <c r="R10" s="3">
        <f>SUM(D10:Q10)</f>
        <v>-145908</v>
      </c>
    </row>
    <row r="11" spans="1:33" x14ac:dyDescent="0.25">
      <c r="C11" s="1" t="s">
        <v>46</v>
      </c>
      <c r="R11" s="3"/>
      <c r="AE11" s="3"/>
      <c r="AG11" s="3"/>
    </row>
    <row r="12" spans="1:33" x14ac:dyDescent="0.25">
      <c r="A12" s="1" t="s">
        <v>63</v>
      </c>
      <c r="B12" s="4" t="s">
        <v>64</v>
      </c>
      <c r="D12" s="3">
        <f>AE5+R10</f>
        <v>-146098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Report_2025-12-01_2025-12-24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Phuc Truong Hong</dc:creator>
  <cp:lastModifiedBy>Phuc Truong Hong</cp:lastModifiedBy>
  <dcterms:created xsi:type="dcterms:W3CDTF">2026-01-25T02:38:36Z</dcterms:created>
  <dcterms:modified xsi:type="dcterms:W3CDTF">2026-01-25T02:38:37Z</dcterms:modified>
</cp:coreProperties>
</file>